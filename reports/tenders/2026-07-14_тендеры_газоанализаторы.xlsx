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82c7e2b09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0d8240a14dc4b88"/>
    <x:sheet xmlns:r="http://schemas.openxmlformats.org/officeDocument/2006/relationships" name="Тендеры" sheetId="2" r:id="R74b87007dcc4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b/>
      <x:sz val="12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1F1F1F"/>
      <x:name val="Aptos"/>
    </x:font>
    <x:font>
      <x:b/>
      <x:sz val="12"/>
      <x:color rgb="FFFFFFFF"/>
      <x:name val="Aptos"/>
    </x:font>
    <x:font>
      <x:b/>
      <x:sz val="10"/>
      <x:color rgb="FFFFFFFF"/>
      <x:name val="Carlito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6FAF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19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/>
    <x:xf numFmtId="0" fontId="3" fillId="4" borderId="6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/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2" fillId="6" borderId="10" xfId="0" applyNumberFormat="1" applyFont="1" applyFill="1" applyBorder="1"/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/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200" fontId="8" fillId="4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/>
    <x:xf numFmtId="0" fontId="8" fillId="4" borderId="6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7" fillId="6" borderId="7" xfId="0" applyNumberFormat="1" applyFont="1" applyFill="1" applyBorder="1"/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/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/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horizontal="center" vertical="top" wrapText="1"/>
    </x:xf>
    <x:xf numFmtId="200" fontId="11" fillId="0" borderId="0" xfId="0" applyNumberFormat="1" applyFont="1" applyFill="1" applyBorder="1" applyAlignment="1">
      <x:alignment horizontal="center" vertical="top" wrapText="1"/>
    </x:xf>
    <x:xf numFmtId="0" fontId="10" fillId="2" borderId="16" xfId="0" applyNumberFormat="1" applyFont="1" applyFill="1" applyBorder="1" applyAlignment="1">
      <x:alignment horizontal="center" vertical="center" wrapText="1"/>
    </x:xf>
    <x:xf numFmtId="0" fontId="11" fillId="0" borderId="17" xfId="0" applyNumberFormat="1" applyFont="1" applyFill="1" applyBorder="1" applyAlignment="1">
      <x:alignment horizontal="center" vertical="top" wrapText="1"/>
    </x:xf>
    <x:xf numFmtId="0" fontId="11" fillId="0" borderId="17" xfId="0" applyNumberFormat="1" applyFont="1" applyFill="1" applyBorder="1" applyAlignment="1">
      <x:alignment vertical="top" wrapText="1"/>
    </x:xf>
    <x:xf numFmtId="201" fontId="11" fillId="0" borderId="17" xfId="0" applyNumberFormat="1" applyFont="1" applyFill="1" applyBorder="1" applyAlignment="1">
      <x:alignment horizontal="center" vertical="top" wrapText="1"/>
    </x:xf>
    <x:xf numFmtId="200" fontId="11" fillId="0" borderId="17" xfId="0" applyNumberFormat="1" applyFont="1" applyFill="1" applyBorder="1" applyAlignment="1">
      <x:alignment horizontal="center" vertical="top" wrapText="1"/>
    </x:xf>
    <x:xf numFmtId="0" fontId="11" fillId="0" borderId="18" xfId="0" applyNumberFormat="1" applyFont="1" applyFill="1" applyBorder="1" applyAlignment="1">
      <x:alignment horizontal="center" vertical="top" wrapText="1"/>
    </x:xf>
    <x:xf numFmtId="0" fontId="11" fillId="0" borderId="18" xfId="0" applyNumberFormat="1" applyFont="1" applyFill="1" applyBorder="1" applyAlignment="1">
      <x:alignment vertical="top" wrapText="1"/>
    </x:xf>
    <x:xf numFmtId="201" fontId="11" fillId="0" borderId="18" xfId="0" applyNumberFormat="1" applyFont="1" applyFill="1" applyBorder="1" applyAlignment="1">
      <x:alignment horizontal="center" vertical="top" wrapText="1"/>
    </x:xf>
    <x:xf numFmtId="200" fontId="11" fillId="0" borderId="1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090b6cc424886" /><Relationship Type="http://schemas.openxmlformats.org/officeDocument/2006/relationships/theme" Target="/xl/theme/theme1.xml" Id="R1cfe3aaa0b1b4e83" /><Relationship Type="http://schemas.openxmlformats.org/officeDocument/2006/relationships/sharedStrings" Target="/xl/sharedStrings.xml" Id="R770ce5112bef44da" /><Relationship Type="http://schemas.openxmlformats.org/officeDocument/2006/relationships/worksheet" Target="/xl/worksheets/sheet1.xml" Id="R70d8240a14dc4b88" /><Relationship Type="http://schemas.openxmlformats.org/officeDocument/2006/relationships/worksheet" Target="/xl/worksheets/sheet2.xml" Id="R74b87007dcc444b5" /></Relationships>
</file>

<file path=xl/tables/table1.xml><?xml version="1.0" encoding="utf-8"?>
<x:table xmlns:x="http://schemas.openxmlformats.org/spreadsheetml/2006/main" id="1" name="TendersTable" displayName="TendersTable" ref="A1:P20" headerRowCount="1" totalsRowCount="0" totalsRowShown="0">
  <x:autoFilter ref="A1:P20"/>
  <x:tableColumns count="16">
    <x:tableColumn id="1" name="№"/>
    <x:tableColumn id="2" name="Релевантность"/>
    <x:tableColumn id="3" name="Новый/повтор"/>
    <x:tableColumn id="4" name="Наименование"/>
    <x:tableColumn id="5" name="Заказчик"/>
    <x:tableColumn id="6" name="ИНН/БИН"/>
    <x:tableColumn id="7" name="Регион/страна"/>
    <x:tableColumn id="8" name="Закон/тип"/>
    <x:tableColumn id="9" name="Номер закупки"/>
    <x:tableColumn id="10" name="Сумма"/>
    <x:tableColumn id="11" name="Валюта"/>
    <x:tableColumn id="12" name="Окончание подачи"/>
    <x:tableColumn id="13" name="Осталось времени"/>
    <x:tableColumn id="14" name="Ключевые признаки"/>
    <x:tableColumn id="15" name="Риск/причина проверки"/>
    <x:tableColumn id="16" name="Ссыл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ef0a005f8d42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2" t="str">
        <x:v>Тендеры по стационарным газоанализаторам</x:v>
      </x:c>
      <x:c r="B1" s="32"/>
      <x:c r="C1" s="32"/>
      <x:c r="D1" s="32"/>
      <x:c r="E1" s="32"/>
      <x:c r="F1" s="32"/>
      <x:c r="G1" s="32"/>
      <x:c r="H1" s="32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34" t="str">
        <x:v>Дата и время проверки</x:v>
      </x:c>
      <x:c r="B3" s="35" t="n">
        <x:v>46217.47222222222</x:v>
      </x:c>
      <x:c r="C3" s="33"/>
      <x:c r="D3" s="33"/>
      <x:c r="E3" s="33"/>
      <x:c r="F3" s="33"/>
      <x:c r="G3" s="33"/>
      <x:c r="H3" s="33"/>
    </x:row>
    <x:row r="4">
      <x:c r="A4" s="36" t="str">
        <x:v>Всего подходящих</x:v>
      </x:c>
      <x:c r="B4" s="37" t="n">
        <x:f>COUNTA('Тендеры'!A2:A20)</x:f>
        <x:v>19</x:v>
      </x:c>
      <x:c r="C4" s="33"/>
      <x:c r="D4" s="33"/>
      <x:c r="E4" s="33"/>
      <x:c r="F4" s="33"/>
      <x:c r="G4" s="33"/>
      <x:c r="H4" s="33"/>
    </x:row>
    <x:row r="5">
      <x:c r="A5" s="36" t="str">
        <x:v>Новых</x:v>
      </x:c>
      <x:c r="B5" s="37" t="n">
        <x:f>COUNTIF('Тендеры'!C2:C20,"Новый")</x:f>
        <x:v>19</x:v>
      </x:c>
      <x:c r="C5" s="33"/>
      <x:c r="D5" s="33"/>
      <x:c r="E5" s="33"/>
      <x:c r="F5" s="33"/>
      <x:c r="G5" s="33"/>
      <x:c r="H5" s="33"/>
    </x:row>
    <x:row r="6">
      <x:c r="A6" s="36" t="str">
        <x:v>Высокая релевантность</x:v>
      </x:c>
      <x:c r="B6" s="37" t="n">
        <x:f>COUNTIF('Тендеры'!B2:B20,"Высокая")</x:f>
        <x:v>8</x:v>
      </x:c>
      <x:c r="C6" s="33"/>
      <x:c r="D6" s="33"/>
      <x:c r="E6" s="33"/>
      <x:c r="F6" s="33"/>
      <x:c r="G6" s="33"/>
      <x:c r="H6" s="33"/>
    </x:row>
    <x:row r="7">
      <x:c r="A7" s="36" t="str">
        <x:v>Средняя релевантность</x:v>
      </x:c>
      <x:c r="B7" s="37" t="n">
        <x:f>COUNTIF('Тендеры'!B2:B20,"Средняя")</x:f>
        <x:v>9</x:v>
      </x:c>
      <x:c r="C7" s="33"/>
      <x:c r="D7" s="33"/>
      <x:c r="E7" s="33"/>
      <x:c r="F7" s="33"/>
      <x:c r="G7" s="33"/>
      <x:c r="H7" s="33"/>
    </x:row>
    <x:row r="8">
      <x:c r="A8" s="38" t="str">
        <x:v>Требуют проверки</x:v>
      </x:c>
      <x:c r="B8" s="39" t="n">
        <x:f>COUNTIF('Тендеры'!B2:B20,"Требует проверки")</x:f>
        <x:v>2</x:v>
      </x:c>
      <x:c r="C8" s="33"/>
      <x:c r="D8" s="33"/>
      <x:c r="E8" s="33"/>
      <x:c r="F8" s="33"/>
      <x:c r="G8" s="33"/>
      <x:c r="H8" s="33"/>
    </x:row>
    <x:row r="9">
      <x:c r="A9" s="33"/>
      <x:c r="B9" s="33"/>
      <x:c r="C9" s="33"/>
      <x:c r="D9" s="33"/>
      <x:c r="E9" s="33"/>
      <x:c r="F9" s="33"/>
      <x:c r="G9" s="33"/>
      <x:c r="H9" s="33"/>
    </x:row>
    <x:row r="10">
      <x:c r="A10" s="40" t="str">
        <x:v>Критерии отбора</x:v>
      </x:c>
      <x:c r="B10" s="40"/>
      <x:c r="C10" s="40"/>
      <x:c r="D10" s="40"/>
      <x:c r="E10" s="40"/>
      <x:c r="F10" s="40"/>
      <x:c r="G10" s="40"/>
      <x:c r="H10" s="40"/>
    </x:row>
    <x:row r="11" ht="30" customHeight="1">
      <x:c r="A11" s="41" t="str">
        <x:v>Предмет</x:v>
      </x:c>
      <x:c r="B11" s="42" t="str">
        <x:v>Товары</x:v>
      </x:c>
      <x:c r="C11" s="42"/>
      <x:c r="D11" s="42"/>
      <x:c r="E11" s="42"/>
      <x:c r="F11" s="42"/>
      <x:c r="G11" s="42"/>
      <x:c r="H11" s="43"/>
    </x:row>
    <x:row r="12" ht="30" customHeight="1">
      <x:c r="A12" s="44" t="str">
        <x:v>Приоритет</x:v>
      </x:c>
      <x:c r="B12" s="45" t="str">
        <x:v>Стационарный взрывозащищенный газоанализатор / система контроля загазованности</x:v>
      </x:c>
      <x:c r="C12" s="45"/>
      <x:c r="D12" s="45"/>
      <x:c r="E12" s="45"/>
      <x:c r="F12" s="45"/>
      <x:c r="G12" s="45"/>
      <x:c r="H12" s="46"/>
    </x:row>
    <x:row r="13" ht="30" customHeight="1">
      <x:c r="A13" s="44" t="str">
        <x:v>Сумма</x:v>
      </x:c>
      <x:c r="B13" s="45" t="str">
        <x:v>От 30 000 руб. или эквивалент; позиции без опубликованной суммы помечены</x:v>
      </x:c>
      <x:c r="C13" s="45"/>
      <x:c r="D13" s="45"/>
      <x:c r="E13" s="45"/>
      <x:c r="F13" s="45"/>
      <x:c r="G13" s="45"/>
      <x:c r="H13" s="46"/>
    </x:row>
    <x:row r="14" ht="30" customHeight="1">
      <x:c r="A14" s="44" t="str">
        <x:v>Срок</x:v>
      </x:c>
      <x:c r="B14" s="45" t="str">
        <x:v>Не менее 1 часа до окончания подачи</x:v>
      </x:c>
      <x:c r="C14" s="45"/>
      <x:c r="D14" s="45"/>
      <x:c r="E14" s="45"/>
      <x:c r="F14" s="45"/>
      <x:c r="G14" s="45"/>
      <x:c r="H14" s="46"/>
    </x:row>
    <x:row r="15" ht="30" customHeight="1">
      <x:c r="A15" s="44" t="str">
        <x:v>Регионы</x:v>
      </x:c>
      <x:c r="B15" s="45" t="str">
        <x:v>Россия и СНГ, включая Казахстан и Беларусь</x:v>
      </x:c>
      <x:c r="C15" s="45"/>
      <x:c r="D15" s="45"/>
      <x:c r="E15" s="45"/>
      <x:c r="F15" s="45"/>
      <x:c r="G15" s="45"/>
      <x:c r="H15" s="46"/>
    </x:row>
    <x:row r="16" ht="30" customHeight="1">
      <x:c r="A16" s="47" t="str">
        <x:v>Исключено</x:v>
      </x:c>
      <x:c r="B16" s="48" t="str">
        <x:v>Услуги, поверка, ремонт, запчасти, расходники и закупки только переносных приборов</x:v>
      </x:c>
      <x:c r="C16" s="48"/>
      <x:c r="D16" s="48"/>
      <x:c r="E16" s="48"/>
      <x:c r="F16" s="48"/>
      <x:c r="G16" s="48"/>
      <x:c r="H16" s="49"/>
    </x:row>
  </x:sheetData>
  <x:mergeCells>
    <x:mergeCell ref="A1:H1"/>
    <x:mergeCell ref="A10:H10"/>
    <x:mergeCell ref="B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4" hidden="0" customWidth="1"/>
    <x:col min="4" max="4" width="46" hidden="0" customWidth="1"/>
    <x:col min="5" max="5" width="34" hidden="0" customWidth="1"/>
    <x:col min="6" max="6" width="16" hidden="0" customWidth="1"/>
    <x:col min="7" max="7" width="28" hidden="0" customWidth="1"/>
    <x:col min="8" max="8" width="25" hidden="0" customWidth="1"/>
    <x:col min="9" max="9" width="18" hidden="0" customWidth="1"/>
    <x:col min="10" max="10" width="16" hidden="0" customWidth="1"/>
    <x:col min="11" max="11" width="10" hidden="0" customWidth="1"/>
    <x:col min="12" max="12" width="20" hidden="0" customWidth="1"/>
    <x:col min="13" max="13" width="18" hidden="0" customWidth="1"/>
    <x:col min="14" max="14" width="38" hidden="0" customWidth="1"/>
    <x:col min="15" max="15" width="38" hidden="0" customWidth="1"/>
    <x:col min="16" max="16" width="48" hidden="0" customWidth="1"/>
  </x:cols>
  <x:sheetData>
    <x:row r="1" ht="34" customHeight="1">
      <x:c r="A1" s="62" t="str">
        <x:v>№</x:v>
      </x:c>
      <x:c r="B1" s="62" t="str">
        <x:v>Релевантность</x:v>
      </x:c>
      <x:c r="C1" s="62" t="str">
        <x:v>Новый/повтор</x:v>
      </x:c>
      <x:c r="D1" s="62" t="str">
        <x:v>Наименование</x:v>
      </x:c>
      <x:c r="E1" s="62" t="str">
        <x:v>Заказчик</x:v>
      </x:c>
      <x:c r="F1" s="62" t="str">
        <x:v>ИНН/БИН</x:v>
      </x:c>
      <x:c r="G1" s="62" t="str">
        <x:v>Регион/страна</x:v>
      </x:c>
      <x:c r="H1" s="62" t="str">
        <x:v>Закон/тип</x:v>
      </x:c>
      <x:c r="I1" s="62" t="str">
        <x:v>Номер закупки</x:v>
      </x:c>
      <x:c r="J1" s="62" t="str">
        <x:v>Сумма</x:v>
      </x:c>
      <x:c r="K1" s="62" t="str">
        <x:v>Валюта</x:v>
      </x:c>
      <x:c r="L1" s="62" t="str">
        <x:v>Окончание подачи</x:v>
      </x:c>
      <x:c r="M1" s="62" t="str">
        <x:v>Осталось времени</x:v>
      </x:c>
      <x:c r="N1" s="62" t="str">
        <x:v>Ключевые признаки</x:v>
      </x:c>
      <x:c r="O1" s="62" t="str">
        <x:v>Риск/причина проверки</x:v>
      </x:c>
      <x:c r="P1" s="62" t="str">
        <x:v>Ссылка</x:v>
      </x:c>
    </x:row>
    <x:row r="2" ht="58" customHeight="1">
      <x:c r="A2" s="63" t="n">
        <x:v>1</x:v>
      </x:c>
      <x:c r="B2" s="63" t="str">
        <x:v>Высокая</x:v>
      </x:c>
      <x:c r="C2" s="63" t="str">
        <x:v>Новый</x:v>
      </x:c>
      <x:c r="D2" s="64" t="str">
        <x:v>314251_Поставка стационарных газоанализаторов (согласно спецификации)</x:v>
      </x:c>
      <x:c r="E2" s="64" t="str">
        <x:v>АО «Ангарская Нефтехимическая Компания»</x:v>
      </x:c>
      <x:c r="F2" s="64" t="str"/>
      <x:c r="G2" s="64" t="str">
        <x:v>Россия, Иркутская область, Ангарск</x:v>
      </x:c>
      <x:c r="H2" s="64" t="str">
        <x:v>Коммерческая, запрос цен</x:v>
      </x:c>
      <x:c r="I2" s="64" t="str">
        <x:v>926389</x:v>
      </x:c>
      <x:c r="J2" s="65"/>
      <x:c r="K2" s="63" t="str">
        <x:v>RUB</x:v>
      </x:c>
      <x:c r="L2" s="66" t="n">
        <x:v>46220.416666666664</x:v>
      </x:c>
      <x:c r="M2" s="63" t="str">
        <x:v>2 д 22 ч</x:v>
      </x:c>
      <x:c r="N2" s="64" t="str">
        <x:v>Стационарные PrimaX IR; ATEX; исполнения ALUM/SS; метан/пропан</x:v>
      </x:c>
      <x:c r="O2" s="64" t="str">
        <x:v>В лоте также встречаются переносные модели; оценивать стационарную часть</x:v>
      </x:c>
      <x:c r="P2" s="64" t="str">
        <x:v>https://zakupki.kontur.ru/IS66382200</x:v>
      </x:c>
    </x:row>
    <x:row r="3" ht="58" customHeight="1">
      <x:c r="A3" s="63" t="n">
        <x:v>2</x:v>
      </x:c>
      <x:c r="B3" s="63" t="str">
        <x:v>Высокая</x:v>
      </x:c>
      <x:c r="C3" s="63" t="str">
        <x:v>Новый</x:v>
      </x:c>
      <x:c r="D3" s="64" t="str">
        <x:v>Поставка газоанализаторов</x:v>
      </x:c>
      <x:c r="E3" s="64" t="str">
        <x:v>КАО «Азот»</x:v>
      </x:c>
      <x:c r="F3" s="64" t="str"/>
      <x:c r="G3" s="64" t="str">
        <x:v>Россия, Кемеровская область</x:v>
      </x:c>
      <x:c r="H3" s="64" t="str">
        <x:v>Коммерческая, запрос предложений</x:v>
      </x:c>
      <x:c r="I3" s="64" t="str">
        <x:v>4519187</x:v>
      </x:c>
      <x:c r="J3" s="65"/>
      <x:c r="K3" s="63" t="str">
        <x:v>RUB</x:v>
      </x:c>
      <x:c r="L3" s="66" t="n">
        <x:v>46219.416666666664</x:v>
      </x:c>
      <x:c r="M3" s="63" t="str">
        <x:v>1 д 22 ч</x:v>
      </x:c>
      <x:c r="N3" s="64" t="str">
        <x:v>ДИСК-ТК; ЕН7000-ТК; контроль CH4 и H2</x:v>
      </x:c>
      <x:c r="O3" s="64" t="str">
        <x:v>Сумма не опубликована</x:v>
      </x:c>
      <x:c r="P3" s="64" t="str">
        <x:v>https://zakupki.kontur.ru/4519187_458</x:v>
      </x:c>
    </x:row>
    <x:row r="4" ht="58" customHeight="1">
      <x:c r="A4" s="63" t="n">
        <x:v>3</x:v>
      </x:c>
      <x:c r="B4" s="63" t="str">
        <x:v>Высокая</x:v>
      </x:c>
      <x:c r="C4" s="63" t="str">
        <x:v>Новый</x:v>
      </x:c>
      <x:c r="D4" s="64" t="str">
        <x:v>Поставка анализаторов веществ</x:v>
      </x:c>
      <x:c r="E4" s="64" t="str">
        <x:v>ПАО «Форвард Энерго»</x:v>
      </x:c>
      <x:c r="F4" s="64" t="str"/>
      <x:c r="G4" s="64" t="str">
        <x:v>Россия, несколько объектов</x:v>
      </x:c>
      <x:c r="H4" s="64" t="str">
        <x:v>223-ФЗ</x:v>
      </x:c>
      <x:c r="I4" s="64" t="str">
        <x:v>32616165278</x:v>
      </x:c>
      <x:c r="J4" s="65" t="n">
        <x:v>14680170</x:v>
      </x:c>
      <x:c r="K4" s="63" t="str">
        <x:v>RUB</x:v>
      </x:c>
      <x:c r="L4" s="66" t="n">
        <x:v>46219.541666666664</x:v>
      </x:c>
      <x:c r="M4" s="63" t="str">
        <x:v>2 д 1 ч</x:v>
      </x:c>
      <x:c r="N4" s="64" t="str">
        <x:v>ГАНК-4М; ДАХ-М-03; ИГС-98; промышленные датчики-газоанализаторы</x:v>
      </x:c>
      <x:c r="O4" s="64" t="str">
        <x:v>Проверить распределение стационарных и переносных позиций</x:v>
      </x:c>
      <x:c r="P4" s="64" t="str">
        <x:v>https://zakupki.kontur.ru/32616165278</x:v>
      </x:c>
    </x:row>
    <x:row r="5" ht="58" customHeight="1">
      <x:c r="A5" s="63" t="n">
        <x:v>4</x:v>
      </x:c>
      <x:c r="B5" s="63" t="str">
        <x:v>Высокая</x:v>
      </x:c>
      <x:c r="C5" s="63" t="str">
        <x:v>Новый</x:v>
      </x:c>
      <x:c r="D5" s="64" t="str">
        <x:v>Газосигнализаторы</x:v>
      </x:c>
      <x:c r="E5" s="64" t="str">
        <x:v>ТОО «Атырауский Нефтеперерабатывающий Завод»</x:v>
      </x:c>
      <x:c r="F5" s="64" t="str"/>
      <x:c r="G5" s="64" t="str">
        <x:v>Казахстан, Атырауская область</x:v>
      </x:c>
      <x:c r="H5" s="64" t="str">
        <x:v>Казахстан, коммерческая</x:v>
      </x:c>
      <x:c r="I5" s="64" t="str">
        <x:v>1238572</x:v>
      </x:c>
      <x:c r="J5" s="65" t="n">
        <x:v>16100003</x:v>
      </x:c>
      <x:c r="K5" s="63" t="str">
        <x:v>KZT</x:v>
      </x:c>
      <x:c r="L5" s="66" t="n">
        <x:v>46225.333333333336</x:v>
      </x:c>
      <x:c r="M5" s="63" t="str">
        <x:v>7 д 20 ч</x:v>
      </x:c>
      <x:c r="N5" s="64" t="str">
        <x:v>Газосигнализаторы для нефтеперерабатывающего предприятия</x:v>
      </x:c>
      <x:c r="O5" s="64" t="str">
        <x:v>Проверить взрывозащиту и стационарное исполнение по спецификации</x:v>
      </x:c>
      <x:c r="P5" s="64" t="str">
        <x:v>https://zakupki.kontur.ru/SNG6172066</x:v>
      </x:c>
    </x:row>
    <x:row r="6" ht="58" customHeight="1">
      <x:c r="A6" s="63" t="n">
        <x:v>5</x:v>
      </x:c>
      <x:c r="B6" s="63" t="str">
        <x:v>Высокая</x:v>
      </x:c>
      <x:c r="C6" s="63" t="str">
        <x:v>Новый</x:v>
      </x:c>
      <x:c r="D6" s="64" t="str">
        <x:v>Стационарные газоанализаторы паров гидроксида натрия (NaOH)</x:v>
      </x:c>
      <x:c r="E6" s="64" t="str">
        <x:v>ОАО «Белметалл»</x:v>
      </x:c>
      <x:c r="F6" s="64" t="str"/>
      <x:c r="G6" s="64" t="str">
        <x:v>Беларусь</x:v>
      </x:c>
      <x:c r="H6" s="64" t="str">
        <x:v>Беларусь, коммерческая</x:v>
      </x:c>
      <x:c r="I6" s="64" t="str">
        <x:v>2026-1355786</x:v>
      </x:c>
      <x:c r="J6" s="65" t="n">
        <x:v>47000</x:v>
      </x:c>
      <x:c r="K6" s="63" t="str">
        <x:v>BYN</x:v>
      </x:c>
      <x:c r="L6" s="66" t="n">
        <x:v>46231.375</x:v>
      </x:c>
      <x:c r="M6" s="63" t="str">
        <x:v>13 д 21 ч</x:v>
      </x:c>
      <x:c r="N6" s="64" t="str">
        <x:v>Стационарное исполнение; контроль паров NaOH</x:v>
      </x:c>
      <x:c r="O6" s="64" t="str">
        <x:v>Включено обучение; проверить требуемую взрывозащиту</x:v>
      </x:c>
      <x:c r="P6" s="64" t="str">
        <x:v>https://zakupki.kontur.ru/SNG6158219</x:v>
      </x:c>
    </x:row>
    <x:row r="7" ht="58" customHeight="1">
      <x:c r="A7" s="63" t="n">
        <x:v>6</x:v>
      </x:c>
      <x:c r="B7" s="63" t="str">
        <x:v>Высокая</x:v>
      </x:c>
      <x:c r="C7" s="63" t="str">
        <x:v>Новый</x:v>
      </x:c>
      <x:c r="D7" s="64" t="str">
        <x:v>Стационарные газоанализаторы ортофосфорной кислоты</x:v>
      </x:c>
      <x:c r="E7" s="64" t="str">
        <x:v>ОАО «Белметалл»</x:v>
      </x:c>
      <x:c r="F7" s="64" t="str"/>
      <x:c r="G7" s="64" t="str">
        <x:v>Беларусь</x:v>
      </x:c>
      <x:c r="H7" s="64" t="str">
        <x:v>Беларусь, коммерческая</x:v>
      </x:c>
      <x:c r="I7" s="64" t="str">
        <x:v>2026-1355800</x:v>
      </x:c>
      <x:c r="J7" s="65" t="n">
        <x:v>98000</x:v>
      </x:c>
      <x:c r="K7" s="63" t="str">
        <x:v>BYN</x:v>
      </x:c>
      <x:c r="L7" s="66" t="n">
        <x:v>46231.375</x:v>
      </x:c>
      <x:c r="M7" s="63" t="str">
        <x:v>13 д 21 ч</x:v>
      </x:c>
      <x:c r="N7" s="64" t="str">
        <x:v>Стационарное исполнение; контроль паров кислоты</x:v>
      </x:c>
      <x:c r="O7" s="64" t="str">
        <x:v>Включено обучение; проверить требуемую взрывозащиту</x:v>
      </x:c>
      <x:c r="P7" s="64" t="str">
        <x:v>https://zakupki.kontur.ru/SNG6158208</x:v>
      </x:c>
    </x:row>
    <x:row r="8" ht="58" customHeight="1">
      <x:c r="A8" s="63" t="n">
        <x:v>7</x:v>
      </x:c>
      <x:c r="B8" s="63" t="str">
        <x:v>Высокая</x:v>
      </x:c>
      <x:c r="C8" s="63" t="str">
        <x:v>Новый</x:v>
      </x:c>
      <x:c r="D8" s="64" t="str">
        <x:v>Приобретение газоанализатора стационарного Экон O2 0...25 об.%</x:v>
      </x:c>
      <x:c r="E8" s="64" t="str">
        <x:v>Филиал «ВМУ» АО «ОХК «Уралхим»</x:v>
      </x:c>
      <x:c r="F8" s="64" t="str"/>
      <x:c r="G8" s="64" t="str">
        <x:v>Россия, Московская область, Воскресенск</x:v>
      </x:c>
      <x:c r="H8" s="64" t="str">
        <x:v>Коммерческая</x:v>
      </x:c>
      <x:c r="I8" s="64" t="str">
        <x:v>4516600</x:v>
      </x:c>
      <x:c r="J8" s="65"/>
      <x:c r="K8" s="63" t="str">
        <x:v>RUB</x:v>
      </x:c>
      <x:c r="L8" s="66" t="n">
        <x:v>46219.5</x:v>
      </x:c>
      <x:c r="M8" s="63" t="str">
        <x:v>2 д</x:v>
      </x:c>
      <x:c r="N8" s="64" t="str">
        <x:v>Прямо указано стационарное исполнение; контроль O2</x:v>
      </x:c>
      <x:c r="O8" s="64" t="str">
        <x:v>Сумма не опубликована; проверить взрывозащиту</x:v>
      </x:c>
      <x:c r="P8" s="64" t="str">
        <x:v>https://zakupki.kontur.ru/4516600_462</x:v>
      </x:c>
    </x:row>
    <x:row r="9" ht="58" customHeight="1">
      <x:c r="A9" s="63" t="n">
        <x:v>8</x:v>
      </x:c>
      <x:c r="B9" s="63" t="str">
        <x:v>Высокая</x:v>
      </x:c>
      <x:c r="C9" s="63" t="str">
        <x:v>Новый</x:v>
      </x:c>
      <x:c r="D9" s="64" t="str">
        <x:v>Датчик-газоанализатор для Казанской ТЭЦ-3</x:v>
      </x:c>
      <x:c r="E9" s="64" t="str">
        <x:v>АО «ТГК-16»</x:v>
      </x:c>
      <x:c r="F9" s="64" t="str"/>
      <x:c r="G9" s="64" t="str">
        <x:v>Россия, Республика Татарстан, Казань</x:v>
      </x:c>
      <x:c r="H9" s="64" t="str">
        <x:v>223-ФЗ</x:v>
      </x:c>
      <x:c r="I9" s="64" t="str">
        <x:v>32616184630</x:v>
      </x:c>
      <x:c r="J9" s="65" t="n">
        <x:v>596092.14</x:v>
      </x:c>
      <x:c r="K9" s="63" t="str">
        <x:v>RUB</x:v>
      </x:c>
      <x:c r="L9" s="66" t="n">
        <x:v>46219.541666666664</x:v>
      </x:c>
      <x:c r="M9" s="63" t="str">
        <x:v>2 д 1 ч</x:v>
      </x:c>
      <x:c r="N9" s="64" t="str">
        <x:v>Промышленный датчик-газоанализатор для ТЭЦ</x:v>
      </x:c>
      <x:c r="O9" s="64" t="str">
        <x:v>Аналоги не рассматриваются; проверить точную модель</x:v>
      </x:c>
      <x:c r="P9" s="64" t="str">
        <x:v>https://zakupki.kontur.ru/32616184630</x:v>
      </x:c>
    </x:row>
    <x:row r="10" ht="58" customHeight="1">
      <x:c r="A10" s="63" t="n">
        <x:v>9</x:v>
      </x:c>
      <x:c r="B10" s="63" t="str">
        <x:v>Средняя</x:v>
      </x:c>
      <x:c r="C10" s="63" t="str">
        <x:v>Новый</x:v>
      </x:c>
      <x:c r="D10" s="64" t="str">
        <x:v>Поставка устройств контроля загазованности</x:v>
      </x:c>
      <x:c r="E10" s="64" t="str">
        <x:v>Буденновский филиал ГБУ СК «Стававтодор»</x:v>
      </x:c>
      <x:c r="F10" s="64" t="str"/>
      <x:c r="G10" s="64" t="str">
        <x:v>Россия, Ставропольский край</x:v>
      </x:c>
      <x:c r="H10" s="64" t="str">
        <x:v>44-ФЗ</x:v>
      </x:c>
      <x:c r="I10" s="64" t="str">
        <x:v>0321500001526000229</x:v>
      </x:c>
      <x:c r="J10" s="65" t="n">
        <x:v>61781.66</x:v>
      </x:c>
      <x:c r="K10" s="63" t="str">
        <x:v>RUB</x:v>
      </x:c>
      <x:c r="L10" s="66" t="n">
        <x:v>46219.333333333336</x:v>
      </x:c>
      <x:c r="M10" s="63" t="str">
        <x:v>1 д 20 ч</x:v>
      </x:c>
      <x:c r="N10" s="64" t="str">
        <x:v>Устройства контроля загазованности; газосигнализатор</x:v>
      </x:c>
      <x:c r="O10" s="64" t="str">
        <x:v>Проверить промышленное и взрывозащищенное исполнение</x:v>
      </x:c>
      <x:c r="P10" s="64" t="str">
        <x:v>https://zakupki.kontur.ru/0321500001526000229</x:v>
      </x:c>
    </x:row>
    <x:row r="11" ht="58" customHeight="1">
      <x:c r="A11" s="63" t="n">
        <x:v>10</x:v>
      </x:c>
      <x:c r="B11" s="63" t="str">
        <x:v>Средняя</x:v>
      </x:c>
      <x:c r="C11" s="63" t="str">
        <x:v>Новый</x:v>
      </x:c>
      <x:c r="D11" s="64" t="str">
        <x:v>Поставка МТР (газосигнализаторы)</x:v>
      </x:c>
      <x:c r="E11" s="64" t="str">
        <x:v>АО «РН-Няганьнефтегаз»</x:v>
      </x:c>
      <x:c r="F11" s="64" t="str"/>
      <x:c r="G11" s="64" t="str">
        <x:v>Россия, ХМАО — Югра</x:v>
      </x:c>
      <x:c r="H11" s="64" t="str">
        <x:v>Коммерческая, запрос цен</x:v>
      </x:c>
      <x:c r="I11" s="64" t="str">
        <x:v>925173</x:v>
      </x:c>
      <x:c r="J11" s="65"/>
      <x:c r="K11" s="63" t="str">
        <x:v>RUB</x:v>
      </x:c>
      <x:c r="L11" s="66" t="n">
        <x:v>46223.666666666664</x:v>
      </x:c>
      <x:c r="M11" s="63" t="str">
        <x:v>6 д 4 ч</x:v>
      </x:c>
      <x:c r="N11" s="64" t="str">
        <x:v>Газосигнализаторы для нефтегазового предприятия</x:v>
      </x:c>
      <x:c r="O11" s="64" t="str">
        <x:v>Сумма не опубликована; проверить спецификацию</x:v>
      </x:c>
      <x:c r="P11" s="64" t="str">
        <x:v>https://zakupki.kontur.ru/IS65904108</x:v>
      </x:c>
    </x:row>
    <x:row r="12" ht="58" customHeight="1">
      <x:c r="A12" s="63" t="n">
        <x:v>11</x:v>
      </x:c>
      <x:c r="B12" s="63" t="str">
        <x:v>Средняя</x:v>
      </x:c>
      <x:c r="C12" s="63" t="str">
        <x:v>Новый</x:v>
      </x:c>
      <x:c r="D12" s="64" t="str">
        <x:v>Поставка газоанализаторов для филиала «ЩОС»</x:v>
      </x:c>
      <x:c r="E12" s="64" t="str">
        <x:v>ГУП МО «МосОблВодоканал»</x:v>
      </x:c>
      <x:c r="F12" s="64" t="str"/>
      <x:c r="G12" s="64" t="str">
        <x:v>Россия, Московская область</x:v>
      </x:c>
      <x:c r="H12" s="64" t="str">
        <x:v>223-ФЗ</x:v>
      </x:c>
      <x:c r="I12" s="64" t="str">
        <x:v>32616201229</x:v>
      </x:c>
      <x:c r="J12" s="65" t="n">
        <x:v>305234</x:v>
      </x:c>
      <x:c r="K12" s="63" t="str">
        <x:v>RUB</x:v>
      </x:c>
      <x:c r="L12" s="66" t="n">
        <x:v>46226.625</x:v>
      </x:c>
      <x:c r="M12" s="63" t="str">
        <x:v>9 д 3 ч</x:v>
      </x:c>
      <x:c r="N12" s="64" t="str">
        <x:v>Газоанализаторы; ОКПД2 26.51.53.110</x:v>
      </x:c>
      <x:c r="O12" s="64" t="str">
        <x:v>Проверить стационарное исполнение</x:v>
      </x:c>
      <x:c r="P12" s="64" t="str">
        <x:v>https://zakupki.kontur.ru/32616201229</x:v>
      </x:c>
    </x:row>
    <x:row r="13" ht="58" customHeight="1">
      <x:c r="A13" s="63" t="n">
        <x:v>12</x:v>
      </x:c>
      <x:c r="B13" s="63" t="str">
        <x:v>Средняя</x:v>
      </x:c>
      <x:c r="C13" s="63" t="str">
        <x:v>Новый</x:v>
      </x:c>
      <x:c r="D13" s="64" t="str">
        <x:v>Поставка газоанализаторов</x:v>
      </x:c>
      <x:c r="E13" s="64" t="str">
        <x:v>СПб ГУП «АТС Смольного»</x:v>
      </x:c>
      <x:c r="F13" s="64" t="str"/>
      <x:c r="G13" s="64" t="str">
        <x:v>Россия, Санкт-Петербург</x:v>
      </x:c>
      <x:c r="H13" s="64" t="str">
        <x:v>223-ФЗ</x:v>
      </x:c>
      <x:c r="I13" s="64" t="str">
        <x:v>32616200407</x:v>
      </x:c>
      <x:c r="J13" s="65" t="n">
        <x:v>725811.12</x:v>
      </x:c>
      <x:c r="K13" s="63" t="str">
        <x:v>RUB</x:v>
      </x:c>
      <x:c r="L13" s="66" t="n">
        <x:v>46220.416666666664</x:v>
      </x:c>
      <x:c r="M13" s="63" t="str">
        <x:v>2 д 22 ч</x:v>
      </x:c>
      <x:c r="N13" s="64" t="str">
        <x:v>Газоанализаторы; ОКПД2 26.51.53.110</x:v>
      </x:c>
      <x:c r="O13" s="64" t="str">
        <x:v>Проверить модели и стационарность</x:v>
      </x:c>
      <x:c r="P13" s="64" t="str">
        <x:v>https://zakupki.kontur.ru/32616200407</x:v>
      </x:c>
    </x:row>
    <x:row r="14" ht="58" customHeight="1">
      <x:c r="A14" s="63" t="n">
        <x:v>13</x:v>
      </x:c>
      <x:c r="B14" s="63" t="str">
        <x:v>Средняя</x:v>
      </x:c>
      <x:c r="C14" s="63" t="str">
        <x:v>Новый</x:v>
      </x:c>
      <x:c r="D14" s="64" t="str">
        <x:v>Поставка МТР (газоанализаторы 2027 г.)</x:v>
      </x:c>
      <x:c r="E14" s="64" t="str">
        <x:v>АО «Самотлорнефтегаз»</x:v>
      </x:c>
      <x:c r="F14" s="64" t="str"/>
      <x:c r="G14" s="64" t="str">
        <x:v>Россия, ХМАО — Югра</x:v>
      </x:c>
      <x:c r="H14" s="64" t="str">
        <x:v>Коммерческая, запрос оферт</x:v>
      </x:c>
      <x:c r="I14" s="64" t="str">
        <x:v>РН60701875</x:v>
      </x:c>
      <x:c r="J14" s="65"/>
      <x:c r="K14" s="63" t="str">
        <x:v>RUB</x:v>
      </x:c>
      <x:c r="L14" s="66" t="n">
        <x:v>46218.583333333336</x:v>
      </x:c>
      <x:c r="M14" s="63" t="str">
        <x:v>1 д 2 ч</x:v>
      </x:c>
      <x:c r="N14" s="64" t="str">
        <x:v>Газоанализаторы для нефтегазового предприятия</x:v>
      </x:c>
      <x:c r="O14" s="64" t="str">
        <x:v>Сумма и место поставки не опубликованы; срочный срок</x:v>
      </x:c>
      <x:c r="P14" s="64" t="str">
        <x:v>https://zakupki.kontur.ru/IS66038857</x:v>
      </x:c>
    </x:row>
    <x:row r="15" ht="58" customHeight="1">
      <x:c r="A15" s="63" t="n">
        <x:v>14</x:v>
      </x:c>
      <x:c r="B15" s="63" t="str">
        <x:v>Средняя</x:v>
      </x:c>
      <x:c r="C15" s="63" t="str">
        <x:v>Новый</x:v>
      </x:c>
      <x:c r="D15" s="64" t="str">
        <x:v>Газоанализаторы АЗ</x:v>
      </x:c>
      <x:c r="E15" s="64" t="str">
        <x:v>АО «Новокуйбышевский НПЗ»</x:v>
      </x:c>
      <x:c r="F15" s="64" t="str"/>
      <x:c r="G15" s="64" t="str">
        <x:v>Россия, Самарская область</x:v>
      </x:c>
      <x:c r="H15" s="64" t="str">
        <x:v>Коммерческая, мониторинг цен</x:v>
      </x:c>
      <x:c r="I15" s="64" t="str">
        <x:v>РН60701562</x:v>
      </x:c>
      <x:c r="J15" s="65"/>
      <x:c r="K15" s="63" t="str">
        <x:v>RUB</x:v>
      </x:c>
      <x:c r="L15" s="66" t="n">
        <x:v>46220.583333333336</x:v>
      </x:c>
      <x:c r="M15" s="63" t="str">
        <x:v>3 д 2 ч</x:v>
      </x:c>
      <x:c r="N15" s="64" t="str">
        <x:v>Газоанализаторы; нефтепереработка</x:v>
      </x:c>
      <x:c r="O15" s="64" t="str">
        <x:v>Сумма и место поставки не опубликованы; проверить расшифровку АЗ</x:v>
      </x:c>
      <x:c r="P15" s="64" t="str">
        <x:v>https://zakupki.kontur.ru/IS65915941</x:v>
      </x:c>
    </x:row>
    <x:row r="16" ht="58" customHeight="1">
      <x:c r="A16" s="63" t="n">
        <x:v>15</x:v>
      </x:c>
      <x:c r="B16" s="63" t="str">
        <x:v>Средняя</x:v>
      </x:c>
      <x:c r="C16" s="63" t="str">
        <x:v>Новый</x:v>
      </x:c>
      <x:c r="D16" s="64" t="str">
        <x:v>Газоанализатор</x:v>
      </x:c>
      <x:c r="E16" s="64" t="str">
        <x:v>РУП «Витебскэнерго»</x:v>
      </x:c>
      <x:c r="F16" s="64" t="str">
        <x:v>300000252</x:v>
      </x:c>
      <x:c r="G16" s="64" t="str">
        <x:v>Беларусь, Витебск</x:v>
      </x:c>
      <x:c r="H16" s="64" t="str">
        <x:v>Беларусь, коммерческая</x:v>
      </x:c>
      <x:c r="I16" s="64" t="str">
        <x:v>2026-1353800</x:v>
      </x:c>
      <x:c r="J16" s="65" t="n">
        <x:v>58348.92</x:v>
      </x:c>
      <x:c r="K16" s="63" t="str">
        <x:v>BYN</x:v>
      </x:c>
      <x:c r="L16" s="66" t="n">
        <x:v>46223.458333333336</x:v>
      </x:c>
      <x:c r="M16" s="63" t="str">
        <x:v>5 д 23 ч</x:v>
      </x:c>
      <x:c r="N16" s="64" t="str">
        <x:v>Газоанализатор для энергетического предприятия</x:v>
      </x:c>
      <x:c r="O16" s="64" t="str">
        <x:v>Проверить модель, стационарность и взрывозащиту</x:v>
      </x:c>
      <x:c r="P16" s="64" t="str">
        <x:v>https://zakupki.kontur.ru/SNG6142391</x:v>
      </x:c>
    </x:row>
    <x:row r="17" ht="58" customHeight="1">
      <x:c r="A17" s="63" t="n">
        <x:v>16</x:v>
      </x:c>
      <x:c r="B17" s="63" t="str">
        <x:v>Средняя</x:v>
      </x:c>
      <x:c r="C17" s="63" t="str">
        <x:v>Новый</x:v>
      </x:c>
      <x:c r="D17" s="64" t="str">
        <x:v>Газоанализатор согласно технической спецификации</x:v>
      </x:c>
      <x:c r="E17" s="64" t="str">
        <x:v>ТОО «Рудненские Тепловые Сети»</x:v>
      </x:c>
      <x:c r="F17" s="64" t="str"/>
      <x:c r="G17" s="64" t="str">
        <x:v>Казахстан</x:v>
      </x:c>
      <x:c r="H17" s="64" t="str">
        <x:v>Казахстан, государственная</x:v>
      </x:c>
      <x:c r="I17" s="64" t="str">
        <x:v>17315001-1</x:v>
      </x:c>
      <x:c r="J17" s="65" t="n">
        <x:v>200000</x:v>
      </x:c>
      <x:c r="K17" s="63" t="str">
        <x:v>KZT</x:v>
      </x:c>
      <x:c r="L17" s="66" t="n">
        <x:v>46219.399305555555</x:v>
      </x:c>
      <x:c r="M17" s="63" t="str">
        <x:v>1 д 21 ч</x:v>
      </x:c>
      <x:c r="N17" s="64" t="str">
        <x:v>Газоанализатор; определение содержания CO2</x:v>
      </x:c>
      <x:c r="O17" s="64" t="str">
        <x:v>Эквивалент 32 976 руб.; проверить стационарность</x:v>
      </x:c>
      <x:c r="P17" s="64" t="str">
        <x:v>https://zakupki.kontur.ru/SNG6172996</x:v>
      </x:c>
    </x:row>
    <x:row r="18" ht="58" customHeight="1">
      <x:c r="A18" s="63" t="n">
        <x:v>17</x:v>
      </x:c>
      <x:c r="B18" s="63" t="str">
        <x:v>Средняя</x:v>
      </x:c>
      <x:c r="C18" s="63" t="str">
        <x:v>Новый</x:v>
      </x:c>
      <x:c r="D18" s="64" t="str">
        <x:v>Газоанализаторы</x:v>
      </x:c>
      <x:c r="E18" s="64" t="str">
        <x:v>АО «Ангарская Нефтехимическая Компания»</x:v>
      </x:c>
      <x:c r="F18" s="64" t="str"/>
      <x:c r="G18" s="64" t="str">
        <x:v>Россия, Иркутская область, Ангарск</x:v>
      </x:c>
      <x:c r="H18" s="64" t="str">
        <x:v>Коммерческая, мониторинг цен</x:v>
      </x:c>
      <x:c r="I18" s="64" t="str">
        <x:v>РН60700989</x:v>
      </x:c>
      <x:c r="J18" s="65"/>
      <x:c r="K18" s="63" t="str">
        <x:v>RUB</x:v>
      </x:c>
      <x:c r="L18" s="66" t="n">
        <x:v>46219.4375</x:v>
      </x:c>
      <x:c r="M18" s="63" t="str">
        <x:v>1 д 22 ч 30 мин</x:v>
      </x:c>
      <x:c r="N18" s="64" t="str">
        <x:v>Газоанализаторы; ОКПД2 26.51.53.110</x:v>
      </x:c>
      <x:c r="O18" s="64" t="str">
        <x:v>Сумма не опубликована; проверить спецификацию</x:v>
      </x:c>
      <x:c r="P18" s="64" t="str">
        <x:v>https://zakupki.kontur.ru/IS65523606</x:v>
      </x:c>
    </x:row>
    <x:row r="19" ht="58" customHeight="1">
      <x:c r="A19" s="63" t="n">
        <x:v>18</x:v>
      </x:c>
      <x:c r="B19" s="63" t="str">
        <x:v>Требует проверки</x:v>
      </x:c>
      <x:c r="C19" s="63" t="str">
        <x:v>Новый</x:v>
      </x:c>
      <x:c r="D19" s="64" t="str">
        <x:v>Газоанализаторы и комплектующие к газоанализаторам</x:v>
      </x:c>
      <x:c r="E19" s="64" t="str">
        <x:v>АО «Новокуйбышевский НПЗ»</x:v>
      </x:c>
      <x:c r="F19" s="64" t="str"/>
      <x:c r="G19" s="64" t="str">
        <x:v>Россия, Самарская область</x:v>
      </x:c>
      <x:c r="H19" s="64" t="str">
        <x:v>Коммерческая, мониторинг цен</x:v>
      </x:c>
      <x:c r="I19" s="64" t="str">
        <x:v>РН60702555</x:v>
      </x:c>
      <x:c r="J19" s="65"/>
      <x:c r="K19" s="63" t="str">
        <x:v>RUB</x:v>
      </x:c>
      <x:c r="L19" s="66" t="n">
        <x:v>46220.583333333336</x:v>
      </x:c>
      <x:c r="M19" s="63" t="str">
        <x:v>3 д 2 ч</x:v>
      </x:c>
      <x:c r="N19" s="64" t="str">
        <x:v>Газоанализаторы; ОКПД2 26.51.53.110</x:v>
      </x:c>
      <x:c r="O19" s="64" t="str">
        <x:v>Смешанная закупка с комплектующими; выделить приборы</x:v>
      </x:c>
      <x:c r="P19" s="64" t="str">
        <x:v>https://zakupki.kontur.ru/IS66429918</x:v>
      </x:c>
    </x:row>
    <x:row r="20" ht="58" customHeight="1">
      <x:c r="A20" s="67" t="n">
        <x:v>19</x:v>
      </x:c>
      <x:c r="B20" s="67" t="str">
        <x:v>Требует проверки</x:v>
      </x:c>
      <x:c r="C20" s="67" t="str">
        <x:v>Новый</x:v>
      </x:c>
      <x:c r="D20" s="68" t="str">
        <x:v>Поставка газоанализаторов стационарных и переносных</x:v>
      </x:c>
      <x:c r="E20" s="68" t="str">
        <x:v>ГУП Республики Крым «Вода Крыма»</x:v>
      </x:c>
      <x:c r="F20" s="68" t="str"/>
      <x:c r="G20" s="68" t="str">
        <x:v>Россия, Республика Крым</x:v>
      </x:c>
      <x:c r="H20" s="68" t="str">
        <x:v>223-ФЗ</x:v>
      </x:c>
      <x:c r="I20" s="68" t="str">
        <x:v>32616200616</x:v>
      </x:c>
      <x:c r="J20" s="69" t="n">
        <x:v>25981351.8</x:v>
      </x:c>
      <x:c r="K20" s="67" t="str">
        <x:v>RUB</x:v>
      </x:c>
      <x:c r="L20" s="70" t="n">
        <x:v>46224.291666666664</x:v>
      </x:c>
      <x:c r="M20" s="67" t="str">
        <x:v>6 д 19 ч</x:v>
      </x:c>
      <x:c r="N20" s="68" t="str">
        <x:v>Стационарное исполнение с выносными датчиками</x:v>
      </x:c>
      <x:c r="O20" s="68" t="str">
        <x:v>Смешанный лот: присутствуют переносные приборы</x:v>
      </x:c>
      <x:c r="P20" s="68" t="str">
        <x:v>https://zakupki.kontur.ru/32616200616</x:v>
      </x:c>
    </x:row>
  </x:sheetData>
  <x:conditionalFormatting sqref="B2:B20">
    <x:cfRule type="containsText" dxfId="0" priority="1" operator="containsText" text="Высокая"/>
    <x:cfRule type="containsText" dxfId="1" priority="2" operator="containsText" text="Средняя"/>
    <x:cfRule type="containsText" dxfId="2" priority="3" operator="containsText" text="Требует проверки"/>
  </x:conditionalFormatting>
  <x:conditionalFormatting sqref="C2:C20">
    <x:cfRule type="containsText" dxfId="3" priority="4" operator="containsText" text="Новый"/>
  </x:conditionalFormatting>
  <x:pageMargins left="0.7" right="0.7" top="0.75" bottom="0.75" header="0.3" footer="0.3"/>
  <x:tableParts count="1">
    <x:tablePart xmlns:r="http://schemas.openxmlformats.org/officeDocument/2006/relationships" r:id="R8def0a005f8d4274"/>
  </x:tableParts>
</x:worksheet>
</file>